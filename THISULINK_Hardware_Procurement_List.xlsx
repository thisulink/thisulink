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Shopping List" sheetId="1" state="visible" r:id="rId1"/>
    <sheet xmlns:r="http://schemas.openxmlformats.org/officeDocument/2006/relationships" name="Where to Buy &amp;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name val="Arial"/>
      <b val="1"/>
      <color rgb="00183A8E"/>
      <sz val="16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color rgb="000F172A"/>
      <sz val="10.5"/>
    </font>
    <font>
      <name val="Arial"/>
      <color rgb="001E293B"/>
      <sz val="9.5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183A8E"/>
      <sz val="10.5"/>
    </font>
    <font>
      <name val="Arial"/>
      <b val="1"/>
      <color rgb="00183A8E"/>
      <sz val="11"/>
    </font>
  </fonts>
  <fills count="6">
    <fill>
      <patternFill/>
    </fill>
    <fill>
      <patternFill patternType="gray125"/>
    </fill>
    <fill>
      <patternFill patternType="solid">
        <fgColor rgb="00183A8E"/>
        <bgColor rgb="00183A8E"/>
      </patternFill>
    </fill>
    <fill>
      <patternFill patternType="solid">
        <fgColor rgb="00CBD5E1"/>
        <bgColor rgb="00CBD5E1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83A8E"/>
      </top>
      <bottom style="double">
        <color rgb="00183A8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48" customWidth="1" min="3" max="3"/>
    <col width="48" customWidth="1" min="4" max="4"/>
    <col width="24" customWidth="1" min="5" max="5"/>
    <col width="12" customWidth="1" min="6" max="6"/>
    <col width="22" customWidth="1" min="7" max="7"/>
    <col width="48" customWidth="1" min="8" max="8"/>
    <col width="38" customWidth="1" min="9" max="9"/>
    <col width="39" customWidth="1" min="10" max="10"/>
  </cols>
  <sheetData>
    <row r="1" ht="28" customHeight="1">
      <c r="A1" s="1" t="inlineStr">
        <is>
          <t>THISULINK™ — Complete Hardware Procurement &amp; Shopping List</t>
        </is>
      </c>
    </row>
    <row r="2" ht="18" customHeight="1">
      <c r="A2" s="2" t="inlineStr">
        <is>
          <t>SIH 2026 Functional Prototype BOM | Exact Models, Quantities, Estimated India Pricing &amp; Buying Links</t>
        </is>
      </c>
    </row>
    <row r="3" ht="10" customHeight="1"/>
    <row r="4" ht="26" customHeight="1">
      <c r="A4" s="3" t="inlineStr">
        <is>
          <t>Item #</t>
        </is>
      </c>
      <c r="B4" s="3" t="inlineStr">
        <is>
          <t>Subsystem</t>
        </is>
      </c>
      <c r="C4" s="3" t="inlineStr">
        <is>
          <t>Component Name &amp; Exact Model</t>
        </is>
      </c>
      <c r="D4" s="3" t="inlineStr">
        <is>
          <t>Purpose / Role in THISULINK</t>
        </is>
      </c>
      <c r="E4" s="3" t="inlineStr">
        <is>
          <t>Priority</t>
        </is>
      </c>
      <c r="F4" s="3" t="inlineStr">
        <is>
          <t>Qty</t>
        </is>
      </c>
      <c r="G4" s="3" t="inlineStr">
        <is>
          <t>Est. Unit Price (₹)</t>
        </is>
      </c>
      <c r="H4" s="3" t="inlineStr">
        <is>
          <t>Total (₹)</t>
        </is>
      </c>
      <c r="I4" s="3" t="inlineStr">
        <is>
          <t>Best Source / Store</t>
        </is>
      </c>
      <c r="J4" s="3" t="inlineStr">
        <is>
          <t>Search Keyword for Robu / Amazon</t>
        </is>
      </c>
    </row>
    <row r="5" ht="20" customHeight="1">
      <c r="A5" s="4" t="inlineStr">
        <is>
          <t>1. PLANTAR PLATFORM — ACTUATION &amp; DRIVE STAGE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0" customHeight="1">
      <c r="A6" s="6" t="n">
        <v>1</v>
      </c>
      <c r="B6" s="7" t="inlineStr">
        <is>
          <t>Actuation</t>
        </is>
      </c>
      <c r="C6" s="7" t="inlineStr">
        <is>
          <t>Bone Conduction Transducer (8Ω 1W) / Tactile Exciter</t>
        </is>
      </c>
      <c r="D6" s="7" t="inlineStr">
        <is>
          <t>Generates 10–500 Hz linear harmonic vibration into foot sole</t>
        </is>
      </c>
      <c r="E6" s="8" t="inlineStr">
        <is>
          <t>Must Buy</t>
        </is>
      </c>
      <c r="F6" s="6" t="n">
        <v>1</v>
      </c>
      <c r="G6" s="9" t="n">
        <v>650</v>
      </c>
      <c r="H6" s="9">
        <f>F6*G6</f>
        <v/>
      </c>
      <c r="I6" s="7" t="inlineStr">
        <is>
          <t>Robu.in / Amazon.in</t>
        </is>
      </c>
      <c r="J6" s="7" t="inlineStr">
        <is>
          <t>Bone conduction speaker 8 ohm 1W</t>
        </is>
      </c>
    </row>
    <row r="7" ht="20" customHeight="1">
      <c r="A7" s="10" t="n">
        <v>2</v>
      </c>
      <c r="B7" s="11" t="inlineStr">
        <is>
          <t>Actuation (Alt)</t>
        </is>
      </c>
      <c r="C7" s="11" t="inlineStr">
        <is>
          <t>40mm 4Ω 3W Mini Dynamic Speaker (for cone strip hack)</t>
        </is>
      </c>
      <c r="D7" s="11" t="inlineStr">
        <is>
          <t>Low-cost DIY Voice Coil Actuator (cut cone, keep voice coil)</t>
        </is>
      </c>
      <c r="E7" s="12" t="inlineStr">
        <is>
          <t>Budget Alt</t>
        </is>
      </c>
      <c r="F7" s="10" t="n">
        <v>1</v>
      </c>
      <c r="G7" s="13" t="n">
        <v>60</v>
      </c>
      <c r="H7" s="13">
        <f>F7*G7</f>
        <v/>
      </c>
      <c r="I7" s="11" t="inlineStr">
        <is>
          <t>Local Shop / Amazon</t>
        </is>
      </c>
      <c r="J7" s="11" t="inlineStr">
        <is>
          <t>40mm 4 ohm 3W speaker</t>
        </is>
      </c>
    </row>
    <row r="8" ht="20" customHeight="1">
      <c r="A8" s="6" t="n">
        <v>3</v>
      </c>
      <c r="B8" s="7" t="inlineStr">
        <is>
          <t>Actuator Driver</t>
        </is>
      </c>
      <c r="C8" s="7" t="inlineStr">
        <is>
          <t>PAM8403 5V 2x3W Class-D Mini Amplifier Board</t>
        </is>
      </c>
      <c r="D8" s="7" t="inlineStr">
        <is>
          <t>Amplifies ESP32 DAC 10–500 Hz sweep to drive the voice coil</t>
        </is>
      </c>
      <c r="E8" s="8" t="inlineStr">
        <is>
          <t>Must Buy</t>
        </is>
      </c>
      <c r="F8" s="6" t="n">
        <v>1</v>
      </c>
      <c r="G8" s="9" t="n">
        <v>45</v>
      </c>
      <c r="H8" s="9">
        <f>F8*G8</f>
        <v/>
      </c>
      <c r="I8" s="7" t="inlineStr">
        <is>
          <t>Robu.in / Amazon.in</t>
        </is>
      </c>
      <c r="J8" s="7" t="inlineStr">
        <is>
          <t>PAM8403 mini amplifier board 5V</t>
        </is>
      </c>
    </row>
    <row r="9" ht="20" customHeight="1">
      <c r="A9" s="10" t="n">
        <v>4</v>
      </c>
      <c r="B9" s="11" t="inlineStr">
        <is>
          <t>Actuator Plunger</t>
        </is>
      </c>
      <c r="C9" s="11" t="inlineStr">
        <is>
          <t>Brass M3 25mm Standoff + 3D printed plunger tip</t>
        </is>
      </c>
      <c r="D9" s="11" t="inlineStr">
        <is>
          <t>Transfers vertical vibration from voice coil to copper foot plate</t>
        </is>
      </c>
      <c r="E9" s="14" t="inlineStr">
        <is>
          <t>Must Buy</t>
        </is>
      </c>
      <c r="F9" s="10" t="n">
        <v>2</v>
      </c>
      <c r="G9" s="13" t="n">
        <v>25</v>
      </c>
      <c r="H9" s="13">
        <f>F9*G9</f>
        <v/>
      </c>
      <c r="I9" s="11" t="inlineStr">
        <is>
          <t>Local / Amazon</t>
        </is>
      </c>
      <c r="J9" s="11" t="inlineStr">
        <is>
          <t>M3 brass standoff 25mm</t>
        </is>
      </c>
    </row>
    <row r="10" ht="20" customHeight="1">
      <c r="A10" s="4" t="inlineStr">
        <is>
          <t>2. PLANTAR PLATFORM — SENSORS &amp; SAFETY INTERLOCK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0" customHeight="1">
      <c r="A11" s="10" t="n">
        <v>5</v>
      </c>
      <c r="B11" s="11" t="inlineStr">
        <is>
          <t>Sensors (IMU)</t>
        </is>
      </c>
      <c r="C11" s="11" t="inlineStr">
        <is>
          <t>ADXL345 3-Axis Digital Accelerometer Breakout Board (SPI/I2C)</t>
        </is>
      </c>
      <c r="D11" s="11" t="inlineStr">
        <is>
          <t>Dual pickups for shear wave phase delay (Firmware tested)</t>
        </is>
      </c>
      <c r="E11" s="14" t="inlineStr">
        <is>
          <t>Must Buy</t>
        </is>
      </c>
      <c r="F11" s="10" t="n">
        <v>2</v>
      </c>
      <c r="G11" s="13" t="n">
        <v>140</v>
      </c>
      <c r="H11" s="13">
        <f>F11*G11</f>
        <v/>
      </c>
      <c r="I11" s="11" t="inlineStr">
        <is>
          <t>Robu.in / ElectronicsComp</t>
        </is>
      </c>
      <c r="J11" s="11" t="inlineStr">
        <is>
          <t>ADXL345 accelerometer module</t>
        </is>
      </c>
    </row>
    <row r="12" ht="20" customHeight="1">
      <c r="A12" s="6" t="n">
        <v>6</v>
      </c>
      <c r="B12" s="7" t="inlineStr">
        <is>
          <t>Sensors (Adv)</t>
        </is>
      </c>
      <c r="C12" s="7" t="inlineStr">
        <is>
          <t>ADXL355 20-Bit Low-Noise Accelerometer Module</t>
        </is>
      </c>
      <c r="D12" s="7" t="inlineStr">
        <is>
          <t>Production-grade dual pickups (25 µg/√Hz noise density)</t>
        </is>
      </c>
      <c r="E12" s="15" t="inlineStr">
        <is>
          <t>Optional / Adv</t>
        </is>
      </c>
      <c r="F12" s="6" t="n">
        <v>2</v>
      </c>
      <c r="G12" s="9" t="n">
        <v>1800</v>
      </c>
      <c r="H12" s="9">
        <f>F12*G12</f>
        <v/>
      </c>
      <c r="I12" s="7" t="inlineStr">
        <is>
          <t>Mouser India / Analog Devices</t>
        </is>
      </c>
      <c r="J12" s="7" t="inlineStr">
        <is>
          <t>ADXL355 breakout board</t>
        </is>
      </c>
    </row>
    <row r="13" ht="20" customHeight="1">
      <c r="A13" s="10" t="n">
        <v>7</v>
      </c>
      <c r="B13" s="11" t="inlineStr">
        <is>
          <t>Preload Gate</t>
        </is>
      </c>
      <c r="C13" s="11" t="inlineStr">
        <is>
          <t>TAL221 Micro Cantilever Load Cell (5kg capacity / 50N)</t>
        </is>
      </c>
      <c r="D13" s="11" t="inlineStr">
        <is>
          <t>Measures resting foot pressure; interlock enforces 1.4N - 1.6N gate</t>
        </is>
      </c>
      <c r="E13" s="14" t="inlineStr">
        <is>
          <t>Must Buy</t>
        </is>
      </c>
      <c r="F13" s="10" t="n">
        <v>1</v>
      </c>
      <c r="G13" s="13" t="n">
        <v>160</v>
      </c>
      <c r="H13" s="13">
        <f>F13*G13</f>
        <v/>
      </c>
      <c r="I13" s="11" t="inlineStr">
        <is>
          <t>Robu.in / Amazon</t>
        </is>
      </c>
      <c r="J13" s="11" t="inlineStr">
        <is>
          <t>TAL221 load cell 5kg micro</t>
        </is>
      </c>
    </row>
    <row r="14" ht="20" customHeight="1">
      <c r="A14" s="6" t="n">
        <v>8</v>
      </c>
      <c r="B14" s="7" t="inlineStr">
        <is>
          <t>Load Cell ADC</t>
        </is>
      </c>
      <c r="C14" s="7" t="inlineStr">
        <is>
          <t>HX711 24-Bit Weighing Sensor ADC Module</t>
        </is>
      </c>
      <c r="D14" s="7" t="inlineStr">
        <is>
          <t>High-precision digital ADC for TAL221 load cell feedback</t>
        </is>
      </c>
      <c r="E14" s="8" t="inlineStr">
        <is>
          <t>Must Buy</t>
        </is>
      </c>
      <c r="F14" s="6" t="n">
        <v>1</v>
      </c>
      <c r="G14" s="9" t="n">
        <v>75</v>
      </c>
      <c r="H14" s="9">
        <f>F14*G14</f>
        <v/>
      </c>
      <c r="I14" s="7" t="inlineStr">
        <is>
          <t>Robu.in / Amazon</t>
        </is>
      </c>
      <c r="J14" s="7" t="inlineStr">
        <is>
          <t>HX711 load cell amplifier module</t>
        </is>
      </c>
    </row>
    <row r="15" ht="20" customHeight="1">
      <c r="A15" s="10" t="n">
        <v>9</v>
      </c>
      <c r="B15" s="11" t="inlineStr">
        <is>
          <t>Thermal Array</t>
        </is>
      </c>
      <c r="C15" s="11" t="inlineStr">
        <is>
          <t>AMG8833 8x8 IR Thermal Camera Module (Grid-EYE, I2C)</t>
        </is>
      </c>
      <c r="D15" s="11" t="inlineStr">
        <is>
          <t>64-pixel sole thermal heatmap &amp; bilateral hotspot detection</t>
        </is>
      </c>
      <c r="E15" s="14" t="inlineStr">
        <is>
          <t>Must Buy (Best Value)</t>
        </is>
      </c>
      <c r="F15" s="10" t="n">
        <v>1</v>
      </c>
      <c r="G15" s="13" t="n">
        <v>1350</v>
      </c>
      <c r="H15" s="13">
        <f>F15*G15</f>
        <v/>
      </c>
      <c r="I15" s="11" t="inlineStr">
        <is>
          <t>Robu.in / Amazon.in</t>
        </is>
      </c>
      <c r="J15" s="11" t="inlineStr">
        <is>
          <t>AMG8833 thermal camera sensor module</t>
        </is>
      </c>
    </row>
    <row r="16" ht="20" customHeight="1">
      <c r="A16" s="6" t="n">
        <v>10</v>
      </c>
      <c r="B16" s="7" t="inlineStr">
        <is>
          <t>Thermal (Alt)</t>
        </is>
      </c>
      <c r="C16" s="7" t="inlineStr">
        <is>
          <t>MLX90614 Non-Contact Infrared Thermometer (I2C)</t>
        </is>
      </c>
      <c r="D16" s="7" t="inlineStr">
        <is>
          <t>Single-point baseline temperature sensor (Budget alternative)</t>
        </is>
      </c>
      <c r="E16" s="15" t="inlineStr">
        <is>
          <t>Budget Alt</t>
        </is>
      </c>
      <c r="F16" s="6" t="n">
        <v>1</v>
      </c>
      <c r="G16" s="9" t="n">
        <v>420</v>
      </c>
      <c r="H16" s="9">
        <f>F16*G16</f>
        <v/>
      </c>
      <c r="I16" s="7" t="inlineStr">
        <is>
          <t>Robu.in / Local Shop</t>
        </is>
      </c>
      <c r="J16" s="7" t="inlineStr">
        <is>
          <t>MLX90614 GY-906 infrared sensor</t>
        </is>
      </c>
    </row>
    <row r="17" ht="20" customHeight="1">
      <c r="A17" s="4" t="inlineStr">
        <is>
          <t>3. CONTROLLER, CONNECTIVITY &amp; POWER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6" t="n">
        <v>11</v>
      </c>
      <c r="B18" s="7" t="inlineStr">
        <is>
          <t>Microcontroller</t>
        </is>
      </c>
      <c r="C18" s="7" t="inlineStr">
        <is>
          <t>ESP32-S3 DevKitC-1 (N16R8, Dual Core 240MHz, BLE 5.0)</t>
        </is>
      </c>
      <c r="D18" s="7" t="inlineStr">
        <is>
          <t>Runs 2048-pt Radix-2 FFT, sensor acquisition &amp; 73-byte BLE telemetry</t>
        </is>
      </c>
      <c r="E18" s="8" t="inlineStr">
        <is>
          <t>Must Buy</t>
        </is>
      </c>
      <c r="F18" s="6" t="n">
        <v>1</v>
      </c>
      <c r="G18" s="9" t="n">
        <v>550</v>
      </c>
      <c r="H18" s="9">
        <f>F18*G18</f>
        <v/>
      </c>
      <c r="I18" s="7" t="inlineStr">
        <is>
          <t>Robu.in / Quartzcomponents</t>
        </is>
      </c>
      <c r="J18" s="7" t="inlineStr">
        <is>
          <t>ESP32-S3 DevKitC-1 N16R8</t>
        </is>
      </c>
    </row>
    <row r="19" ht="20" customHeight="1">
      <c r="A19" s="10" t="n">
        <v>12</v>
      </c>
      <c r="B19" s="11" t="inlineStr">
        <is>
          <t>Power Supply</t>
        </is>
      </c>
      <c r="C19" s="11" t="inlineStr">
        <is>
          <t>5V 2.4A USB Power Adapter / Fast Mobile Charger</t>
        </is>
      </c>
      <c r="D19" s="11" t="inlineStr">
        <is>
          <t>Clean ripple-free 5V power for ESP32, PAM8403 amp, and load cell</t>
        </is>
      </c>
      <c r="E19" s="14" t="inlineStr">
        <is>
          <t>Must Buy</t>
        </is>
      </c>
      <c r="F19" s="10" t="n">
        <v>1</v>
      </c>
      <c r="G19" s="13" t="n">
        <v>250</v>
      </c>
      <c r="H19" s="13">
        <f>F19*G19</f>
        <v/>
      </c>
      <c r="I19" s="11" t="inlineStr">
        <is>
          <t>Local / Amazon</t>
        </is>
      </c>
      <c r="J19" s="11" t="inlineStr">
        <is>
          <t>5V 2.4A USB wall charger</t>
        </is>
      </c>
    </row>
    <row r="20" ht="20" customHeight="1">
      <c r="A20" s="6" t="n">
        <v>13</v>
      </c>
      <c r="B20" s="7" t="inlineStr">
        <is>
          <t>USB Cable</t>
        </is>
      </c>
      <c r="C20" s="7" t="inlineStr">
        <is>
          <t>Micro-USB / Type-C High Speed Data Cable (1.5m)</t>
        </is>
      </c>
      <c r="D20" s="7" t="inlineStr">
        <is>
          <t>For flashing firmware and serial monitor diagnostics</t>
        </is>
      </c>
      <c r="E20" s="8" t="inlineStr">
        <is>
          <t>Must Buy</t>
        </is>
      </c>
      <c r="F20" s="6" t="n">
        <v>2</v>
      </c>
      <c r="G20" s="9" t="n">
        <v>80</v>
      </c>
      <c r="H20" s="9">
        <f>F20*G20</f>
        <v/>
      </c>
      <c r="I20" s="7" t="inlineStr">
        <is>
          <t>Local Shop</t>
        </is>
      </c>
      <c r="J20" s="7" t="inlineStr">
        <is>
          <t>USB Type-C data cable</t>
        </is>
      </c>
    </row>
    <row r="21" ht="20" customHeight="1">
      <c r="A21" s="4" t="inlineStr">
        <is>
          <t>4. SMARTPHONE 20D RETINAL ADAPTER (EYE UNIT)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6" t="n">
        <v>14</v>
      </c>
      <c r="B22" s="7" t="inlineStr">
        <is>
          <t>Optics</t>
        </is>
      </c>
      <c r="C22" s="7" t="inlineStr">
        <is>
          <t>+20D Ophthalmic Condensing Lens (Ø50mm Double Aspheric)</t>
        </is>
      </c>
      <c r="D22" s="7" t="inlineStr">
        <is>
          <t>Condenses retinal fundus image onto phone camera sensor (46° FOV)</t>
        </is>
      </c>
      <c r="E22" s="8" t="inlineStr">
        <is>
          <t>Must Buy</t>
        </is>
      </c>
      <c r="F22" s="6" t="n">
        <v>1</v>
      </c>
      <c r="G22" s="9" t="n">
        <v>1200</v>
      </c>
      <c r="H22" s="9">
        <f>F22*G22</f>
        <v/>
      </c>
      <c r="I22" s="7" t="inlineStr">
        <is>
          <t>Appasamy / Optical Shop / IndiaMart</t>
        </is>
      </c>
      <c r="J22" s="7" t="inlineStr">
        <is>
          <t>20D indirect ophthalmoscopy lens</t>
        </is>
      </c>
    </row>
    <row r="23" ht="20" customHeight="1">
      <c r="A23" s="10" t="n">
        <v>15</v>
      </c>
      <c r="B23" s="11" t="inlineStr">
        <is>
          <t>Clamp Hardware</t>
        </is>
      </c>
      <c r="C23" s="11" t="inlineStr">
        <is>
          <t>High-Tensile Torsion Spring (3.5N clamping force)</t>
        </is>
      </c>
      <c r="D23" s="11" t="inlineStr">
        <is>
          <t>Provides firm grip for 3D printed smartphone clothespin clamp</t>
        </is>
      </c>
      <c r="E23" s="14" t="inlineStr">
        <is>
          <t>Must Buy</t>
        </is>
      </c>
      <c r="F23" s="10" t="n">
        <v>2</v>
      </c>
      <c r="G23" s="13" t="n">
        <v>35</v>
      </c>
      <c r="H23" s="13">
        <f>F23*G23</f>
        <v/>
      </c>
      <c r="I23" s="11" t="inlineStr">
        <is>
          <t>Local Hardware / Amazon</t>
        </is>
      </c>
      <c r="J23" s="11" t="inlineStr">
        <is>
          <t>Small torsion spring 3.5N</t>
        </is>
      </c>
    </row>
    <row r="24" ht="20" customHeight="1">
      <c r="A24" s="6" t="n">
        <v>16</v>
      </c>
      <c r="B24" s="7" t="inlineStr">
        <is>
          <t>Protective Pads</t>
        </is>
      </c>
      <c r="C24" s="7" t="inlineStr">
        <is>
          <t>Soft Adhesive Silicone Rubber Pads (1mm - 2mm thick)</t>
        </is>
      </c>
      <c r="D24" s="7" t="inlineStr">
        <is>
          <t>Protects phone display screen &amp; prevents clamp slipping</t>
        </is>
      </c>
      <c r="E24" s="8" t="inlineStr">
        <is>
          <t>Must Buy</t>
        </is>
      </c>
      <c r="F24" s="6" t="n">
        <v>1</v>
      </c>
      <c r="G24" s="9" t="n">
        <v>60</v>
      </c>
      <c r="H24" s="9">
        <f>F24*G24</f>
        <v/>
      </c>
      <c r="I24" s="7" t="inlineStr">
        <is>
          <t>Amazon / Local</t>
        </is>
      </c>
      <c r="J24" s="7" t="inlineStr">
        <is>
          <t>Self adhesive rubber bumper pads</t>
        </is>
      </c>
    </row>
    <row r="25" ht="20" customHeight="1">
      <c r="A25" s="4" t="inlineStr">
        <is>
          <t>5. PLATFORM HOUSING &amp; MECHANICAL ISOLATION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6" t="n">
        <v>17</v>
      </c>
      <c r="B26" s="7" t="inlineStr">
        <is>
          <t>3D Filament</t>
        </is>
      </c>
      <c r="C26" s="7" t="inlineStr">
        <is>
          <t>PETG 3D Printing Filament 1kg (Black / Transparent)</t>
        </is>
      </c>
      <c r="D26" s="7" t="inlineStr">
        <is>
          <t>For 3D printing Plantar dual-bay enclosure &amp; Retinal optical barrel</t>
        </is>
      </c>
      <c r="E26" s="8" t="inlineStr">
        <is>
          <t>Must Buy</t>
        </is>
      </c>
      <c r="F26" s="6" t="n">
        <v>1</v>
      </c>
      <c r="G26" s="9" t="n">
        <v>850</v>
      </c>
      <c r="H26" s="9">
        <f>F26*G26</f>
        <v/>
      </c>
      <c r="I26" s="7" t="inlineStr">
        <is>
          <t>Numakers / Robu.in / Amazon</t>
        </is>
      </c>
      <c r="J26" s="7" t="inlineStr">
        <is>
          <t>PETG 3D printer filament 1.75mm</t>
        </is>
      </c>
    </row>
    <row r="27" ht="20" customHeight="1">
      <c r="A27" s="10" t="n">
        <v>18</v>
      </c>
      <c r="B27" s="11" t="inlineStr">
        <is>
          <t>Contact Pad</t>
        </is>
      </c>
      <c r="C27" s="11" t="inlineStr">
        <is>
          <t>Food/Medical-Grade Silicone Sheet (2mm thick, 100x100mm)</t>
        </is>
      </c>
      <c r="D27" s="11" t="inlineStr">
        <is>
          <t>Couples vibration smoothly from pressure plate to patient skin</t>
        </is>
      </c>
      <c r="E27" s="14" t="inlineStr">
        <is>
          <t>Must Buy</t>
        </is>
      </c>
      <c r="F27" s="10" t="n">
        <v>1</v>
      </c>
      <c r="G27" s="13" t="n">
        <v>150</v>
      </c>
      <c r="H27" s="13">
        <f>F27*G27</f>
        <v/>
      </c>
      <c r="I27" s="11" t="inlineStr">
        <is>
          <t>Amazon / Surgical Shop</t>
        </is>
      </c>
      <c r="J27" s="11" t="inlineStr">
        <is>
          <t>Silicone rubber sheet 2mm</t>
        </is>
      </c>
    </row>
    <row r="28" ht="20" customHeight="1">
      <c r="A28" s="6" t="n">
        <v>19</v>
      </c>
      <c r="B28" s="7" t="inlineStr">
        <is>
          <t>Damping Base</t>
        </is>
      </c>
      <c r="C28" s="7" t="inlineStr">
        <is>
          <t>Mild Steel / Cast Iron / Brass Weight Plate (180x90x10mm)</t>
        </is>
      </c>
      <c r="D28" s="7" t="inlineStr">
        <is>
          <t>Inertial weight foundation (~1.5-2kg) to isolate table vibrations</t>
        </is>
      </c>
      <c r="E28" s="8" t="inlineStr">
        <is>
          <t>Must Buy</t>
        </is>
      </c>
      <c r="F28" s="6" t="n">
        <v>1</v>
      </c>
      <c r="G28" s="9" t="n">
        <v>350</v>
      </c>
      <c r="H28" s="9">
        <f>F28*G28</f>
        <v/>
      </c>
      <c r="I28" s="7" t="inlineStr">
        <is>
          <t>Local Metal Fab / Scrap Yard</t>
        </is>
      </c>
      <c r="J28" s="7" t="inlineStr">
        <is>
          <t>Flat steel brass plate 10mm</t>
        </is>
      </c>
    </row>
    <row r="29" ht="20" customHeight="1">
      <c r="A29" s="10" t="n">
        <v>20</v>
      </c>
      <c r="B29" s="11" t="inlineStr">
        <is>
          <t>Damping Feet</t>
        </is>
      </c>
      <c r="C29" s="11" t="inlineStr">
        <is>
          <t>SBR Vibration Damping Rubber Feet / Bushings (Set of 4)</t>
        </is>
      </c>
      <c r="D29" s="11" t="inlineStr">
        <is>
          <t>Isolates platform from benchtop acoustic feedback</t>
        </is>
      </c>
      <c r="E29" s="14" t="inlineStr">
        <is>
          <t>Must Buy</t>
        </is>
      </c>
      <c r="F29" s="10" t="n">
        <v>1</v>
      </c>
      <c r="G29" s="13" t="n">
        <v>90</v>
      </c>
      <c r="H29" s="13">
        <f>F29*G29</f>
        <v/>
      </c>
      <c r="I29" s="11" t="inlineStr">
        <is>
          <t>Amazon / Hardware Shop</t>
        </is>
      </c>
      <c r="J29" s="11" t="inlineStr">
        <is>
          <t>Rubber chassis feet M3 M4</t>
        </is>
      </c>
    </row>
    <row r="30" ht="20" customHeight="1">
      <c r="A30" s="6" t="n">
        <v>21</v>
      </c>
      <c r="B30" s="7" t="inlineStr">
        <is>
          <t>Fasteners</t>
        </is>
      </c>
      <c r="C30" s="7" t="inlineStr">
        <is>
          <t>M3 Stainless Steel Allen Bolt &amp; Nut Kit (Hex Socket)</t>
        </is>
      </c>
      <c r="D30" s="7" t="inlineStr">
        <is>
          <t>Assembling load cell, PCB mounts, and enclosure shell</t>
        </is>
      </c>
      <c r="E30" s="8" t="inlineStr">
        <is>
          <t>Must Buy</t>
        </is>
      </c>
      <c r="F30" s="6" t="n">
        <v>1</v>
      </c>
      <c r="G30" s="9" t="n">
        <v>180</v>
      </c>
      <c r="H30" s="9">
        <f>F30*G30</f>
        <v/>
      </c>
      <c r="I30" s="7" t="inlineStr">
        <is>
          <t>Amazon / Hardware Shop</t>
        </is>
      </c>
      <c r="J30" s="7" t="inlineStr">
        <is>
          <t>M3 hex socket screw nut kit</t>
        </is>
      </c>
    </row>
    <row r="31" ht="20" customHeight="1">
      <c r="A31" s="4" t="inlineStr">
        <is>
          <t>6. WIRING, PASSIVES &amp; ASSEMBLY ESSENTIALS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6" t="n">
        <v>22</v>
      </c>
      <c r="B32" s="7" t="inlineStr">
        <is>
          <t>Circuit Board</t>
        </is>
      </c>
      <c r="C32" s="7" t="inlineStr">
        <is>
          <t>Double-Sided FR4 Dot Prototyping PCB (5x7 cm, Set of 3)</t>
        </is>
      </c>
      <c r="D32" s="7" t="inlineStr">
        <is>
          <t>For clean, vibration-resistant mounting of PAM8403 and connectors</t>
        </is>
      </c>
      <c r="E32" s="8" t="inlineStr">
        <is>
          <t>Must Buy</t>
        </is>
      </c>
      <c r="F32" s="6" t="n">
        <v>1</v>
      </c>
      <c r="G32" s="9" t="n">
        <v>80</v>
      </c>
      <c r="H32" s="9">
        <f>F32*G32</f>
        <v/>
      </c>
      <c r="I32" s="7" t="inlineStr">
        <is>
          <t>Robu.in / ElectronicsComp</t>
        </is>
      </c>
      <c r="J32" s="7" t="inlineStr">
        <is>
          <t>5x7cm universal perfboard PCB</t>
        </is>
      </c>
    </row>
    <row r="33" ht="20" customHeight="1">
      <c r="A33" s="10" t="n">
        <v>23</v>
      </c>
      <c r="B33" s="11" t="inlineStr">
        <is>
          <t>Cabling</t>
        </is>
      </c>
      <c r="C33" s="11" t="inlineStr">
        <is>
          <t>40-Pin Rainbow Dupont Jumper Wires (Female-Female, 20cm)</t>
        </is>
      </c>
      <c r="D33" s="11" t="inlineStr">
        <is>
          <t>Interconnecting sensors to ESP32-S3 pins</t>
        </is>
      </c>
      <c r="E33" s="14" t="inlineStr">
        <is>
          <t>Must Buy</t>
        </is>
      </c>
      <c r="F33" s="10" t="n">
        <v>1</v>
      </c>
      <c r="G33" s="13" t="n">
        <v>70</v>
      </c>
      <c r="H33" s="13">
        <f>F33*G33</f>
        <v/>
      </c>
      <c r="I33" s="11" t="inlineStr">
        <is>
          <t>Robu.in / Amazon</t>
        </is>
      </c>
      <c r="J33" s="11" t="inlineStr">
        <is>
          <t>Female to female jumper wires 20cm</t>
        </is>
      </c>
    </row>
    <row r="34" ht="20" customHeight="1">
      <c r="A34" s="6" t="n">
        <v>24</v>
      </c>
      <c r="B34" s="7" t="inlineStr">
        <is>
          <t>Shielded Wire</t>
        </is>
      </c>
      <c r="C34" s="7" t="inlineStr">
        <is>
          <t>Shielded 4-Core Signal Cable (1 meter)</t>
        </is>
      </c>
      <c r="D34" s="7" t="inlineStr">
        <is>
          <t>Connects dual ADXL sensors to ESP32 with zero noise pickup</t>
        </is>
      </c>
      <c r="E34" s="8" t="inlineStr">
        <is>
          <t>Must Buy</t>
        </is>
      </c>
      <c r="F34" s="6" t="n">
        <v>1</v>
      </c>
      <c r="G34" s="9" t="n">
        <v>60</v>
      </c>
      <c r="H34" s="9">
        <f>F34*G34</f>
        <v/>
      </c>
      <c r="I34" s="7" t="inlineStr">
        <is>
          <t>Local Audio / Cable Shop</t>
        </is>
      </c>
      <c r="J34" s="7" t="inlineStr">
        <is>
          <t>4 core shielded audio cable</t>
        </is>
      </c>
    </row>
    <row r="35" ht="20" customHeight="1">
      <c r="A35" s="10" t="n">
        <v>25</v>
      </c>
      <c r="B35" s="11" t="inlineStr">
        <is>
          <t>Adhesive</t>
        </is>
      </c>
      <c r="C35" s="11" t="inlineStr">
        <is>
          <t>Cyanoacrylate Super Glue (Fevikwik / Gorilla Super Glue)</t>
        </is>
      </c>
      <c r="D35" s="11" t="inlineStr">
        <is>
          <t>Bonding plunger and silicone coupling pad</t>
        </is>
      </c>
      <c r="E35" s="14" t="inlineStr">
        <is>
          <t>Must Buy</t>
        </is>
      </c>
      <c r="F35" s="10" t="n">
        <v>2</v>
      </c>
      <c r="G35" s="13" t="n">
        <v>20</v>
      </c>
      <c r="H35" s="13">
        <f>F35*G35</f>
        <v/>
      </c>
      <c r="I35" s="11" t="inlineStr">
        <is>
          <t>Stationery / Local Shop</t>
        </is>
      </c>
      <c r="J35" s="11" t="inlineStr">
        <is>
          <t>Fevikwik 502 / Super glue</t>
        </is>
      </c>
    </row>
    <row r="36" ht="24" customHeight="1">
      <c r="A36" s="16" t="inlineStr">
        <is>
          <t>ESTIMATED TOTAL BUDGET (ALL MUST-BUY PROTOTYPE ITEMS):</t>
        </is>
      </c>
      <c r="B36" s="17" t="n"/>
      <c r="C36" s="17" t="n"/>
      <c r="D36" s="17" t="n"/>
      <c r="E36" s="17" t="n"/>
      <c r="F36" s="17" t="n"/>
      <c r="G36" s="17" t="n"/>
      <c r="H36" s="18">
        <f>H6+H8+H9+H11+H13+H14+H15+H18+H19+H20+H22+H23+H24+H26+H27+H28+H29+H30+H32+H33+H34+H35</f>
        <v/>
      </c>
      <c r="I36" s="17" t="n"/>
      <c r="J36" s="17" t="n"/>
    </row>
  </sheetData>
  <mergeCells count="9">
    <mergeCell ref="A36:G36"/>
    <mergeCell ref="A1:J1"/>
    <mergeCell ref="A5:J5"/>
    <mergeCell ref="A31:J31"/>
    <mergeCell ref="A17:J17"/>
    <mergeCell ref="A21:J21"/>
    <mergeCell ref="A2:J2"/>
    <mergeCell ref="A10:J10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48" customWidth="1" min="3" max="3"/>
    <col width="31" customWidth="1" min="4" max="4"/>
    <col width="48" customWidth="1" min="5" max="5"/>
  </cols>
  <sheetData>
    <row r="1" ht="28" customHeight="1">
      <c r="A1" s="19" t="inlineStr">
        <is>
          <t>Quick Store Recommendations &amp; Procurement Tips</t>
        </is>
      </c>
    </row>
    <row r="2"/>
    <row r="3" ht="24" customHeight="1">
      <c r="A3" s="20" t="inlineStr">
        <is>
          <t>Store / Vendor</t>
        </is>
      </c>
      <c r="B3" s="20" t="inlineStr">
        <is>
          <t>Platform Link</t>
        </is>
      </c>
      <c r="C3" s="20" t="inlineStr">
        <is>
          <t>What to Order From Here</t>
        </is>
      </c>
      <c r="D3" s="20" t="inlineStr">
        <is>
          <t>Expected Delivery Time</t>
        </is>
      </c>
      <c r="E3" s="20" t="inlineStr">
        <is>
          <t>Pro-Tip for Fast Assembly</t>
        </is>
      </c>
    </row>
    <row r="4" ht="26" customHeight="1">
      <c r="A4" s="21" t="inlineStr">
        <is>
          <t>Robu.in (Recommended)</t>
        </is>
      </c>
      <c r="B4" s="21" t="inlineStr">
        <is>
          <t>https://robu.in</t>
        </is>
      </c>
      <c r="C4" s="21" t="inlineStr">
        <is>
          <t>ESP32-S3, ADXL345, TAL221 Load cell, HX711, PAM8403, AMG8833, Jumper wires</t>
        </is>
      </c>
      <c r="D4" s="21" t="inlineStr">
        <is>
          <t>2 - 4 Days (DTDC / BlueDart)</t>
        </is>
      </c>
      <c r="E4" s="21" t="inlineStr">
        <is>
          <t>Add everything to 1 cart to save shipping costs! Fast dispatch.</t>
        </is>
      </c>
    </row>
    <row r="5" ht="26" customHeight="1">
      <c r="A5" s="22" t="inlineStr">
        <is>
          <t>Amazon India</t>
        </is>
      </c>
      <c r="B5" s="22" t="inlineStr">
        <is>
          <t>https://amazon.in</t>
        </is>
      </c>
      <c r="C5" s="22" t="inlineStr">
        <is>
          <t>Bone conduction speaker, Power adapter, USB cables, 2mm silicone sheet, Super glue</t>
        </is>
      </c>
      <c r="D5" s="22" t="inlineStr">
        <is>
          <t>1 - 2 Days (Prime)</t>
        </is>
      </c>
      <c r="E5" s="22" t="inlineStr">
        <is>
          <t>Great for power supply, mechanical adhesives, and hardware accessories.</t>
        </is>
      </c>
    </row>
    <row r="6" ht="26" customHeight="1">
      <c r="A6" s="21" t="inlineStr">
        <is>
          <t>ElectronicsComp</t>
        </is>
      </c>
      <c r="B6" s="21" t="inlineStr">
        <is>
          <t>https://electronicscomp.com</t>
        </is>
      </c>
      <c r="C6" s="21" t="inlineStr">
        <is>
          <t>PAM8403, ADXL345, Perforated PCB, M3 Allen bolts kit</t>
        </is>
      </c>
      <c r="D6" s="21" t="inlineStr">
        <is>
          <t>3 - 5 Days</t>
        </is>
      </c>
      <c r="E6" s="21" t="inlineStr">
        <is>
          <t>Extremely low prices for small passive modules and mounting kits.</t>
        </is>
      </c>
    </row>
    <row r="7" ht="26" customHeight="1">
      <c r="A7" s="22" t="inlineStr">
        <is>
          <t>Local Ophthalmic / Optical Lab</t>
        </is>
      </c>
      <c r="B7" s="22" t="inlineStr">
        <is>
          <t>Local / IndiaMart</t>
        </is>
      </c>
      <c r="C7" s="22" t="inlineStr">
        <is>
          <t>+20D Aspheric Condensing Lens (Appasamy Associates)</t>
        </is>
      </c>
      <c r="D7" s="22" t="inlineStr">
        <is>
          <t>Same day / 2 Days</t>
        </is>
      </c>
      <c r="E7" s="22" t="inlineStr">
        <is>
          <t>Ask for '20D Fundus Examination Lens for Indirect Ophthalmoscopy'.</t>
        </is>
      </c>
    </row>
    <row r="8" ht="26" customHeight="1">
      <c r="A8" s="21" t="inlineStr">
        <is>
          <t>Local Metal Workshop / Scrap Yard</t>
        </is>
      </c>
      <c r="B8" s="21" t="inlineStr">
        <is>
          <t>Local City Industrial Area</t>
        </is>
      </c>
      <c r="C8" s="21" t="inlineStr">
        <is>
          <t>Mild Steel / Brass plate (180x90x10mm) for damping base</t>
        </is>
      </c>
      <c r="D8" s="21" t="inlineStr">
        <is>
          <t>Same day (Immediate)</t>
        </is>
      </c>
      <c r="E8" s="21" t="inlineStr">
        <is>
          <t>Ask for a 1.5kg - 2kg flat scrap plate; cuts bench vibration completely.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2026-10-19T10:40:30Z</dcterms:created>
  <dcterms:modified xmlns:dcterms="http://purl.org/dc/terms/" xmlns:xsi="http://www.w3.org/2001/XMLSchema-instance" xsi:type="dcterms:W3CDTF">2026-10-19T10:40:30Z</dcterms:modified>
</cp:coreProperties>
</file>